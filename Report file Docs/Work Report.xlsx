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xact\OneDrive\डेस्कटॉप\kamarta Robotics team team work\"/>
    </mc:Choice>
  </mc:AlternateContent>
  <xr:revisionPtr revIDLastSave="0" documentId="13_ncr:1_{36D9B985-DA13-4C3E-9F9E-5536151135C6}" xr6:coauthVersionLast="36" xr6:coauthVersionMax="36" xr10:uidLastSave="{00000000-0000-0000-0000-000000000000}"/>
  <bookViews>
    <workbookView xWindow="0" yWindow="0" windowWidth="22260" windowHeight="12645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6" l="1"/>
  <c r="E11" i="6"/>
  <c r="D11" i="6"/>
  <c r="D8" i="5" l="1"/>
  <c r="D11" i="5" s="1"/>
  <c r="E8" i="5"/>
  <c r="E11" i="5" s="1"/>
  <c r="G11" i="4"/>
  <c r="G5" i="4"/>
  <c r="G6" i="4"/>
  <c r="G7" i="4"/>
  <c r="G8" i="4"/>
  <c r="G9" i="4"/>
  <c r="G10" i="4"/>
  <c r="G18" i="3" l="1"/>
  <c r="G17" i="3" l="1"/>
  <c r="G16" i="3"/>
  <c r="G19" i="3" s="1"/>
  <c r="F13" i="2" l="1"/>
  <c r="E13" i="2"/>
  <c r="H13" i="2"/>
  <c r="I13" i="1" l="1"/>
</calcChain>
</file>

<file path=xl/sharedStrings.xml><?xml version="1.0" encoding="utf-8"?>
<sst xmlns="http://schemas.openxmlformats.org/spreadsheetml/2006/main" count="304" uniqueCount="161">
  <si>
    <t xml:space="preserve">Report Work </t>
  </si>
  <si>
    <t>Sr No.</t>
  </si>
  <si>
    <t xml:space="preserve">Name </t>
  </si>
  <si>
    <t xml:space="preserve">Ajay prajapati </t>
  </si>
  <si>
    <t xml:space="preserve">Anshul Kushwaha </t>
  </si>
  <si>
    <t xml:space="preserve">sapana kushwaha </t>
  </si>
  <si>
    <t xml:space="preserve">Tulshi chhodary </t>
  </si>
  <si>
    <t xml:space="preserve">Mohit patel </t>
  </si>
  <si>
    <t xml:space="preserve">Himanshi </t>
  </si>
  <si>
    <t xml:space="preserve">Navin Adlak </t>
  </si>
  <si>
    <t>Devid narware</t>
  </si>
  <si>
    <t xml:space="preserve">College name </t>
  </si>
  <si>
    <t>College location</t>
  </si>
  <si>
    <t xml:space="preserve">Single work </t>
  </si>
  <si>
    <t xml:space="preserve">Ajay &amp; Himanshi team </t>
  </si>
  <si>
    <t xml:space="preserve">Anshul , sapana , Tulshi team </t>
  </si>
  <si>
    <t xml:space="preserve">due to exam prepation </t>
  </si>
  <si>
    <t xml:space="preserve">Leave </t>
  </si>
  <si>
    <t>College Count</t>
  </si>
  <si>
    <t xml:space="preserve">Total College taiup </t>
  </si>
  <si>
    <t xml:space="preserve">Bhopal </t>
  </si>
  <si>
    <t>khargone</t>
  </si>
  <si>
    <t xml:space="preserve">Milinium gorup of instute, BNS Group , IES Universty , Radharaman , Patel Group </t>
  </si>
  <si>
    <t xml:space="preserve">Satisfy </t>
  </si>
  <si>
    <t xml:space="preserve">Query </t>
  </si>
  <si>
    <t xml:space="preserve">Review  </t>
  </si>
  <si>
    <t xml:space="preserve">Fuel Cost </t>
  </si>
  <si>
    <t xml:space="preserve">Pollytechnic College , ITI , Shriji , Avodhya university  , PG College </t>
  </si>
  <si>
    <t>Group work member name</t>
  </si>
  <si>
    <t>Sagar</t>
  </si>
  <si>
    <t>43km,200Rs</t>
  </si>
  <si>
    <t>68Km,250Rs</t>
  </si>
  <si>
    <t>Train -150Rs</t>
  </si>
  <si>
    <t xml:space="preserve">Naval College , ITI govt. College , SVN college </t>
  </si>
  <si>
    <t>-</t>
  </si>
  <si>
    <t>120km - 500 rs</t>
  </si>
  <si>
    <t xml:space="preserve">best review only one college query again </t>
  </si>
  <si>
    <t xml:space="preserve">going to 3 college 1 satisfy and 2 query to our company </t>
  </si>
  <si>
    <t xml:space="preserve">Total </t>
  </si>
  <si>
    <t xml:space="preserve">3 College satify ek ko kal samjhana hai and ek ne parsu bulaya funcation hai college me </t>
  </si>
  <si>
    <t xml:space="preserve">all are great review and something college are 1-2 days again work </t>
  </si>
  <si>
    <t>Gym Count</t>
  </si>
  <si>
    <t xml:space="preserve">fuel and other cost </t>
  </si>
  <si>
    <t>56Km bike</t>
  </si>
  <si>
    <t xml:space="preserve">Train vidisha to bhopal </t>
  </si>
  <si>
    <t xml:space="preserve">College location </t>
  </si>
  <si>
    <t xml:space="preserve">Mo. No </t>
  </si>
  <si>
    <t xml:space="preserve">55 km bike , 30rs tap , printout 20 </t>
  </si>
  <si>
    <t xml:space="preserve"> 140 km </t>
  </si>
  <si>
    <t xml:space="preserve">Gym Name </t>
  </si>
  <si>
    <t xml:space="preserve">all Gym are staisfy </t>
  </si>
  <si>
    <t xml:space="preserve">not avalible owner so 10 gym Taiup </t>
  </si>
  <si>
    <t>4 accept the praposer and 2 is not redey</t>
  </si>
  <si>
    <t xml:space="preserve">kriger Gymnasium </t>
  </si>
  <si>
    <t xml:space="preserve">Torque house Gym </t>
  </si>
  <si>
    <t xml:space="preserve">Elite fitness and Entertainment pvt ltd </t>
  </si>
  <si>
    <t xml:space="preserve">Fitness 365 days </t>
  </si>
  <si>
    <t xml:space="preserve"> br fitness</t>
  </si>
  <si>
    <t>TRP gym</t>
  </si>
  <si>
    <t xml:space="preserve"> bajrang fitness</t>
  </si>
  <si>
    <t>swift fitness gym</t>
  </si>
  <si>
    <t xml:space="preserve">Transformation studio </t>
  </si>
  <si>
    <t xml:space="preserve">mohit </t>
  </si>
  <si>
    <t xml:space="preserve">power plus </t>
  </si>
  <si>
    <t xml:space="preserve">Ajay &amp; himanshi </t>
  </si>
  <si>
    <t xml:space="preserve">spaana tulshi , Anshul </t>
  </si>
  <si>
    <t>Lifestyle gym</t>
  </si>
  <si>
    <t>Strong gym</t>
  </si>
  <si>
    <t>Adiyogi fitness studio</t>
  </si>
  <si>
    <t>SlLF khargone</t>
  </si>
  <si>
    <t>Hero fitness</t>
  </si>
  <si>
    <t>The gym</t>
  </si>
  <si>
    <t>Body factory fitness club</t>
  </si>
  <si>
    <t>Sai health club</t>
  </si>
  <si>
    <t>SFC gym close</t>
  </si>
  <si>
    <t xml:space="preserve">intrested gym name and No. </t>
  </si>
  <si>
    <t>total 6 students work and 30 gym taiup</t>
  </si>
  <si>
    <t xml:space="preserve">gym work </t>
  </si>
  <si>
    <t xml:space="preserve">Job web site name </t>
  </si>
  <si>
    <t xml:space="preserve">Segment 1 </t>
  </si>
  <si>
    <t xml:space="preserve">Job web site detail </t>
  </si>
  <si>
    <t>Segment 2</t>
  </si>
  <si>
    <t xml:space="preserve">Toy Shop detail </t>
  </si>
  <si>
    <t>2nd Dist.</t>
  </si>
  <si>
    <t>1st Dist</t>
  </si>
  <si>
    <t xml:space="preserve">3rd Dist. </t>
  </si>
  <si>
    <t xml:space="preserve">district Name </t>
  </si>
  <si>
    <t>total</t>
  </si>
  <si>
    <t>cost</t>
  </si>
  <si>
    <t xml:space="preserve">sign.com , Freshersworld </t>
  </si>
  <si>
    <t xml:space="preserve">sign com - alredy done abhinandan , fresherworld - not contact number </t>
  </si>
  <si>
    <t xml:space="preserve">internshala - 24 hours me contact karnenge , glassdoor not rechebele </t>
  </si>
  <si>
    <t>internshala , Glass door</t>
  </si>
  <si>
    <t xml:space="preserve">times jobs , monster, apana.com </t>
  </si>
  <si>
    <t xml:space="preserve">1. send docs , 2. call aatend but not share deteail , 3. detail share in mail </t>
  </si>
  <si>
    <t xml:space="preserve"> placement india.com , glass doweer .com , hirect , indeed.com  </t>
  </si>
  <si>
    <t xml:space="preserve">1. responsive come,  2-3-4 USA company </t>
  </si>
  <si>
    <t xml:space="preserve">50k data - 80k offer kal tak 45k  , 1lkh data - 60k offer 50k kal tak offer </t>
  </si>
  <si>
    <t xml:space="preserve">noukari.com , linkdline </t>
  </si>
  <si>
    <t xml:space="preserve">responsive sahi nahi hai alag jagha call kiya hai and they data alredey abhinanadan jain,, linkdin not responde </t>
  </si>
  <si>
    <t xml:space="preserve">detail send </t>
  </si>
  <si>
    <t xml:space="preserve">Vidisha , khargone </t>
  </si>
  <si>
    <t xml:space="preserve">Ujjain , Khandwa </t>
  </si>
  <si>
    <t xml:space="preserve">Sagar , bhopal , Vidisha </t>
  </si>
  <si>
    <t>Tulsi Choudhary</t>
  </si>
  <si>
    <t xml:space="preserve">khandwa </t>
  </si>
  <si>
    <t xml:space="preserve">tulsi </t>
  </si>
  <si>
    <t xml:space="preserve">khargone </t>
  </si>
  <si>
    <t xml:space="preserve">vidisha </t>
  </si>
  <si>
    <t>himanshi</t>
  </si>
  <si>
    <t xml:space="preserve">Ajay </t>
  </si>
  <si>
    <t xml:space="preserve">Sehore </t>
  </si>
  <si>
    <t xml:space="preserve">anshul </t>
  </si>
  <si>
    <t xml:space="preserve">Mohit </t>
  </si>
  <si>
    <t xml:space="preserve">ujjiain </t>
  </si>
  <si>
    <t xml:space="preserve">sapana </t>
  </si>
  <si>
    <t xml:space="preserve">sagar </t>
  </si>
  <si>
    <t>Distirct name</t>
  </si>
  <si>
    <t>mohit patel</t>
  </si>
  <si>
    <t xml:space="preserve">sagar , bina ,  banda </t>
  </si>
  <si>
    <t xml:space="preserve">devas , ujjain , indore </t>
  </si>
  <si>
    <t xml:space="preserve">sehore , bhopal &amp; raisen </t>
  </si>
  <si>
    <t xml:space="preserve">bhuranpur , devas , khandwa , badwani </t>
  </si>
  <si>
    <t xml:space="preserve">khargone &amp; kastrawat </t>
  </si>
  <si>
    <t xml:space="preserve">vidisha &amp; raisen </t>
  </si>
  <si>
    <t xml:space="preserve">total </t>
  </si>
  <si>
    <t>Total Call</t>
  </si>
  <si>
    <t xml:space="preserve">Intrested </t>
  </si>
  <si>
    <t>Sagar,Bina,Banda,vidisha,Bhopal</t>
  </si>
  <si>
    <t>Total</t>
  </si>
  <si>
    <t>Hapur</t>
  </si>
  <si>
    <t xml:space="preserve">ajay </t>
  </si>
  <si>
    <t xml:space="preserve">himanshi </t>
  </si>
  <si>
    <t>Sant Kabir Nagar , Sant Ravidas Nagar (Bhadohi)</t>
  </si>
  <si>
    <t>Shahjahanpur , Shamli</t>
  </si>
  <si>
    <t>Sonbhadra , Sitapur</t>
  </si>
  <si>
    <t>Sultanpur , Unnao</t>
  </si>
  <si>
    <t xml:space="preserve">Ayodhya , versani </t>
  </si>
  <si>
    <t xml:space="preserve">tulshi </t>
  </si>
  <si>
    <t xml:space="preserve">candidate work </t>
  </si>
  <si>
    <t xml:space="preserve">District name </t>
  </si>
  <si>
    <t xml:space="preserve">sr no. </t>
  </si>
  <si>
    <t xml:space="preserve"> Amethi , Chitrakoot</t>
  </si>
  <si>
    <t>Shravasti , Siddharthnagar ,</t>
  </si>
  <si>
    <t xml:space="preserve">Extra jiska complete ho jaye ye bala le lean </t>
  </si>
  <si>
    <t>Mohit patel</t>
  </si>
  <si>
    <t xml:space="preserve">Sapana kushwaha </t>
  </si>
  <si>
    <t xml:space="preserve">Candidates  Addresh </t>
  </si>
  <si>
    <t xml:space="preserve">Calony Count </t>
  </si>
  <si>
    <t>Total data</t>
  </si>
  <si>
    <t xml:space="preserve">Total call </t>
  </si>
  <si>
    <t xml:space="preserve">Sagar </t>
  </si>
  <si>
    <t xml:space="preserve">Vidisha </t>
  </si>
  <si>
    <t xml:space="preserve">Khargone </t>
  </si>
  <si>
    <t xml:space="preserve">bhagori , santkabir nagar , saraswati , sidhatnagar , agara </t>
  </si>
  <si>
    <t xml:space="preserve">indore , ameti , chitrakoot , lakhnau </t>
  </si>
  <si>
    <t xml:space="preserve">sultanpur , Unnao , and Sambhal </t>
  </si>
  <si>
    <t xml:space="preserve">Etehe , mainpuri , Sahajanpur , Shamli </t>
  </si>
  <si>
    <t xml:space="preserve">Sonbharda , Sitapur </t>
  </si>
  <si>
    <t xml:space="preserve">Calony Data </t>
  </si>
  <si>
    <t>Ayodhya,Varanasi Prayagraj,Maharajganj,Gorakpur,Aligad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</si>
</sst>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7" borderId="1" xfId="0" applyFill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opLeftCell="A3" zoomScale="117" workbookViewId="0">
      <selection activeCell="F19" sqref="F19"/>
    </sheetView>
  </sheetViews>
  <sheetFormatPr defaultRowHeight="15" x14ac:dyDescent="0.25"/>
  <cols>
    <col min="1" max="1" width="7.28515625" customWidth="1"/>
    <col min="2" max="2" width="17.28515625" bestFit="1" customWidth="1"/>
    <col min="3" max="3" width="18.28515625" customWidth="1"/>
    <col min="4" max="4" width="73.7109375" style="8" bestFit="1" customWidth="1"/>
    <col min="5" max="5" width="30.85546875" style="8" bestFit="1" customWidth="1"/>
    <col min="6" max="6" width="13.5703125" bestFit="1" customWidth="1"/>
    <col min="9" max="9" width="14" style="8" bestFit="1" customWidth="1"/>
    <col min="10" max="10" width="92.42578125" bestFit="1" customWidth="1"/>
  </cols>
  <sheetData>
    <row r="1" spans="1:10" x14ac:dyDescent="0.25">
      <c r="C1" s="36" t="s">
        <v>0</v>
      </c>
      <c r="D1" s="36"/>
    </row>
    <row r="2" spans="1:10" x14ac:dyDescent="0.25">
      <c r="C2" s="37">
        <v>46006</v>
      </c>
      <c r="D2" s="38"/>
    </row>
    <row r="4" spans="1:10" x14ac:dyDescent="0.25">
      <c r="A4" s="2" t="s">
        <v>1</v>
      </c>
      <c r="B4" s="2" t="s">
        <v>2</v>
      </c>
      <c r="C4" s="2" t="s">
        <v>12</v>
      </c>
      <c r="D4" s="2" t="s">
        <v>11</v>
      </c>
      <c r="E4" s="2" t="s">
        <v>28</v>
      </c>
      <c r="F4" s="2" t="s">
        <v>18</v>
      </c>
      <c r="G4" s="2" t="s">
        <v>23</v>
      </c>
      <c r="H4" s="2" t="s">
        <v>24</v>
      </c>
      <c r="I4" s="2" t="s">
        <v>26</v>
      </c>
      <c r="J4" s="2" t="s">
        <v>25</v>
      </c>
    </row>
    <row r="5" spans="1:10" x14ac:dyDescent="0.25">
      <c r="A5" s="3">
        <v>1</v>
      </c>
      <c r="B5" s="4" t="s">
        <v>3</v>
      </c>
      <c r="C5" s="5" t="s">
        <v>20</v>
      </c>
      <c r="D5" s="5" t="s">
        <v>22</v>
      </c>
      <c r="E5" s="5" t="s">
        <v>14</v>
      </c>
      <c r="F5" s="5">
        <v>5</v>
      </c>
      <c r="G5" s="5">
        <v>4</v>
      </c>
      <c r="H5" s="5">
        <v>1</v>
      </c>
      <c r="I5" s="5" t="s">
        <v>31</v>
      </c>
      <c r="J5" s="5" t="s">
        <v>36</v>
      </c>
    </row>
    <row r="6" spans="1:10" x14ac:dyDescent="0.25">
      <c r="A6" s="3">
        <v>2</v>
      </c>
      <c r="B6" s="4" t="s">
        <v>4</v>
      </c>
      <c r="C6" s="5" t="s">
        <v>21</v>
      </c>
      <c r="D6" s="5" t="s">
        <v>27</v>
      </c>
      <c r="E6" s="5" t="s">
        <v>15</v>
      </c>
      <c r="F6" s="5">
        <v>5</v>
      </c>
      <c r="G6" s="5">
        <v>3</v>
      </c>
      <c r="H6" s="5">
        <v>2</v>
      </c>
      <c r="I6" s="5" t="s">
        <v>30</v>
      </c>
      <c r="J6" s="5" t="s">
        <v>39</v>
      </c>
    </row>
    <row r="7" spans="1:10" x14ac:dyDescent="0.25">
      <c r="A7" s="3">
        <v>3</v>
      </c>
      <c r="B7" s="4" t="s">
        <v>5</v>
      </c>
      <c r="C7" s="5" t="s">
        <v>21</v>
      </c>
      <c r="D7" s="5" t="s">
        <v>27</v>
      </c>
      <c r="E7" s="5" t="s">
        <v>15</v>
      </c>
      <c r="F7" s="5">
        <v>5</v>
      </c>
      <c r="G7" s="5">
        <v>3</v>
      </c>
      <c r="H7" s="5">
        <v>2</v>
      </c>
      <c r="I7" s="5" t="s">
        <v>34</v>
      </c>
      <c r="J7" s="5" t="s">
        <v>34</v>
      </c>
    </row>
    <row r="8" spans="1:10" x14ac:dyDescent="0.25">
      <c r="A8" s="3">
        <v>4</v>
      </c>
      <c r="B8" s="4" t="s">
        <v>6</v>
      </c>
      <c r="C8" s="5" t="s">
        <v>21</v>
      </c>
      <c r="D8" s="5" t="s">
        <v>27</v>
      </c>
      <c r="E8" s="5" t="s">
        <v>15</v>
      </c>
      <c r="F8" s="5">
        <v>5</v>
      </c>
      <c r="G8" s="5">
        <v>3</v>
      </c>
      <c r="H8" s="5">
        <v>2</v>
      </c>
      <c r="I8" s="5" t="s">
        <v>34</v>
      </c>
      <c r="J8" s="5" t="s">
        <v>34</v>
      </c>
    </row>
    <row r="9" spans="1:10" x14ac:dyDescent="0.25">
      <c r="A9" s="3">
        <v>5</v>
      </c>
      <c r="B9" s="4" t="s">
        <v>7</v>
      </c>
      <c r="C9" s="5" t="s">
        <v>29</v>
      </c>
      <c r="D9" s="5" t="s">
        <v>33</v>
      </c>
      <c r="E9" s="5" t="s">
        <v>13</v>
      </c>
      <c r="F9" s="5">
        <v>3</v>
      </c>
      <c r="G9" s="5">
        <v>2</v>
      </c>
      <c r="H9" s="5">
        <v>1</v>
      </c>
      <c r="I9" s="5" t="s">
        <v>35</v>
      </c>
      <c r="J9" s="5" t="s">
        <v>37</v>
      </c>
    </row>
    <row r="10" spans="1:10" x14ac:dyDescent="0.25">
      <c r="A10" s="3">
        <v>6</v>
      </c>
      <c r="B10" s="4" t="s">
        <v>8</v>
      </c>
      <c r="C10" s="5" t="s">
        <v>20</v>
      </c>
      <c r="D10" s="5" t="s">
        <v>22</v>
      </c>
      <c r="E10" s="5" t="s">
        <v>14</v>
      </c>
      <c r="F10" s="5">
        <v>5</v>
      </c>
      <c r="G10" s="5">
        <v>4</v>
      </c>
      <c r="H10" s="5">
        <v>1</v>
      </c>
      <c r="I10" s="5" t="s">
        <v>32</v>
      </c>
      <c r="J10" s="5" t="s">
        <v>34</v>
      </c>
    </row>
    <row r="11" spans="1:10" x14ac:dyDescent="0.25">
      <c r="A11" s="3">
        <v>7</v>
      </c>
      <c r="B11" s="4" t="s">
        <v>9</v>
      </c>
      <c r="C11" s="6" t="s">
        <v>17</v>
      </c>
      <c r="D11" s="6" t="s">
        <v>16</v>
      </c>
      <c r="E11" s="5" t="s">
        <v>34</v>
      </c>
      <c r="F11" s="5" t="s">
        <v>34</v>
      </c>
      <c r="G11" s="5" t="s">
        <v>34</v>
      </c>
      <c r="H11" s="5" t="s">
        <v>34</v>
      </c>
      <c r="I11" s="5" t="s">
        <v>34</v>
      </c>
      <c r="J11" s="5" t="s">
        <v>34</v>
      </c>
    </row>
    <row r="12" spans="1:10" x14ac:dyDescent="0.25">
      <c r="A12" s="3">
        <v>8</v>
      </c>
      <c r="B12" s="4" t="s">
        <v>10</v>
      </c>
      <c r="C12" s="6" t="s">
        <v>17</v>
      </c>
      <c r="D12" s="6" t="s">
        <v>16</v>
      </c>
      <c r="E12" s="5" t="s">
        <v>34</v>
      </c>
      <c r="F12" s="5" t="s">
        <v>34</v>
      </c>
      <c r="G12" s="5" t="s">
        <v>34</v>
      </c>
      <c r="H12" s="5" t="s">
        <v>34</v>
      </c>
      <c r="I12" s="5" t="s">
        <v>34</v>
      </c>
      <c r="J12" s="5" t="s">
        <v>34</v>
      </c>
    </row>
    <row r="13" spans="1:10" x14ac:dyDescent="0.25">
      <c r="A13" s="1"/>
      <c r="B13" s="1"/>
      <c r="C13" s="1"/>
      <c r="D13" s="5"/>
      <c r="E13" s="9" t="s">
        <v>38</v>
      </c>
      <c r="F13" s="9">
        <v>13</v>
      </c>
      <c r="G13" s="9">
        <v>9</v>
      </c>
      <c r="H13" s="9">
        <v>5</v>
      </c>
      <c r="I13" s="9">
        <f>SUM(250+200+500+150)</f>
        <v>1100</v>
      </c>
      <c r="J13" s="9" t="s">
        <v>40</v>
      </c>
    </row>
    <row r="15" spans="1:10" x14ac:dyDescent="0.25">
      <c r="D15" s="7" t="s">
        <v>19</v>
      </c>
      <c r="E15" s="7">
        <v>9</v>
      </c>
    </row>
  </sheetData>
  <mergeCells count="2">
    <mergeCell ref="C1:D1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1BAE-186C-493B-8551-24477CD51273}">
  <dimension ref="A1:I55"/>
  <sheetViews>
    <sheetView zoomScale="88" zoomScaleNormal="137" workbookViewId="0">
      <selection activeCell="B8" sqref="B8"/>
    </sheetView>
  </sheetViews>
  <sheetFormatPr defaultRowHeight="15" x14ac:dyDescent="0.25"/>
  <cols>
    <col min="2" max="2" width="17.28515625" bestFit="1" customWidth="1"/>
    <col min="3" max="3" width="15.42578125" bestFit="1" customWidth="1"/>
    <col min="4" max="4" width="35.85546875" style="10" bestFit="1" customWidth="1"/>
    <col min="5" max="5" width="27.5703125" style="10" bestFit="1" customWidth="1"/>
    <col min="6" max="6" width="13.5703125" bestFit="1" customWidth="1"/>
    <col min="7" max="7" width="26.85546875" customWidth="1"/>
    <col min="8" max="8" width="30.28515625" bestFit="1" customWidth="1"/>
    <col min="9" max="9" width="36.7109375" bestFit="1" customWidth="1"/>
    <col min="10" max="10" width="80.140625" bestFit="1" customWidth="1"/>
  </cols>
  <sheetData>
    <row r="1" spans="1:9" x14ac:dyDescent="0.25">
      <c r="C1" s="36" t="s">
        <v>0</v>
      </c>
      <c r="D1" s="36"/>
      <c r="E1" s="8" t="s">
        <v>77</v>
      </c>
      <c r="I1" s="8"/>
    </row>
    <row r="2" spans="1:9" x14ac:dyDescent="0.25">
      <c r="C2" s="37">
        <v>46007</v>
      </c>
      <c r="D2" s="38"/>
      <c r="E2" s="8"/>
      <c r="I2" s="8"/>
    </row>
    <row r="3" spans="1:9" x14ac:dyDescent="0.25">
      <c r="D3" s="8"/>
      <c r="I3" s="8"/>
    </row>
    <row r="4" spans="1:9" x14ac:dyDescent="0.25">
      <c r="A4" s="2" t="s">
        <v>1</v>
      </c>
      <c r="B4" s="2" t="s">
        <v>2</v>
      </c>
      <c r="C4" s="2" t="s">
        <v>12</v>
      </c>
      <c r="D4" s="2" t="s">
        <v>28</v>
      </c>
      <c r="E4" s="2" t="s">
        <v>41</v>
      </c>
      <c r="F4" s="2" t="s">
        <v>23</v>
      </c>
      <c r="G4" s="2" t="s">
        <v>42</v>
      </c>
      <c r="H4" s="2" t="s">
        <v>26</v>
      </c>
      <c r="I4" s="2" t="s">
        <v>25</v>
      </c>
    </row>
    <row r="5" spans="1:9" x14ac:dyDescent="0.25">
      <c r="A5" s="3">
        <v>1</v>
      </c>
      <c r="B5" s="4" t="s">
        <v>3</v>
      </c>
      <c r="C5" s="5" t="s">
        <v>20</v>
      </c>
      <c r="D5" s="5" t="s">
        <v>14</v>
      </c>
      <c r="E5" s="5">
        <v>11</v>
      </c>
      <c r="F5" s="5">
        <v>11</v>
      </c>
      <c r="G5" s="5" t="s">
        <v>43</v>
      </c>
      <c r="H5" s="5">
        <v>200</v>
      </c>
      <c r="I5" s="5" t="s">
        <v>50</v>
      </c>
    </row>
    <row r="6" spans="1:9" x14ac:dyDescent="0.25">
      <c r="A6" s="3">
        <v>2</v>
      </c>
      <c r="B6" s="4" t="s">
        <v>4</v>
      </c>
      <c r="C6" s="5" t="s">
        <v>21</v>
      </c>
      <c r="D6" s="5" t="s">
        <v>15</v>
      </c>
      <c r="E6" s="5">
        <v>15</v>
      </c>
      <c r="F6" s="5">
        <v>10</v>
      </c>
      <c r="G6" s="5" t="s">
        <v>47</v>
      </c>
      <c r="H6" s="5">
        <v>180</v>
      </c>
      <c r="I6" s="5" t="s">
        <v>51</v>
      </c>
    </row>
    <row r="7" spans="1:9" x14ac:dyDescent="0.25">
      <c r="A7" s="3">
        <v>3</v>
      </c>
      <c r="B7" s="4" t="s">
        <v>5</v>
      </c>
      <c r="C7" s="5" t="s">
        <v>21</v>
      </c>
      <c r="D7" s="5" t="s">
        <v>15</v>
      </c>
      <c r="E7" s="5">
        <v>15</v>
      </c>
      <c r="F7" s="5">
        <v>10</v>
      </c>
      <c r="G7" s="5"/>
      <c r="H7" s="5" t="s">
        <v>34</v>
      </c>
      <c r="I7" s="5" t="s">
        <v>51</v>
      </c>
    </row>
    <row r="8" spans="1:9" x14ac:dyDescent="0.25">
      <c r="A8" s="3">
        <v>4</v>
      </c>
      <c r="B8" s="4" t="s">
        <v>104</v>
      </c>
      <c r="C8" s="5" t="s">
        <v>21</v>
      </c>
      <c r="D8" s="5" t="s">
        <v>15</v>
      </c>
      <c r="E8" s="5">
        <v>15</v>
      </c>
      <c r="F8" s="5">
        <v>10</v>
      </c>
      <c r="G8" s="5"/>
      <c r="H8" s="5" t="s">
        <v>34</v>
      </c>
      <c r="I8" s="5" t="s">
        <v>51</v>
      </c>
    </row>
    <row r="9" spans="1:9" x14ac:dyDescent="0.25">
      <c r="A9" s="3">
        <v>5</v>
      </c>
      <c r="B9" s="4" t="s">
        <v>7</v>
      </c>
      <c r="C9" s="5" t="s">
        <v>29</v>
      </c>
      <c r="D9" s="5" t="s">
        <v>13</v>
      </c>
      <c r="E9" s="5">
        <v>4</v>
      </c>
      <c r="F9" s="5">
        <v>2</v>
      </c>
      <c r="G9" s="5" t="s">
        <v>48</v>
      </c>
      <c r="H9" s="5">
        <v>560</v>
      </c>
      <c r="I9" s="5" t="s">
        <v>52</v>
      </c>
    </row>
    <row r="10" spans="1:9" x14ac:dyDescent="0.25">
      <c r="A10" s="3">
        <v>6</v>
      </c>
      <c r="B10" s="4" t="s">
        <v>8</v>
      </c>
      <c r="C10" s="5" t="s">
        <v>20</v>
      </c>
      <c r="D10" s="5" t="s">
        <v>14</v>
      </c>
      <c r="E10" s="5">
        <v>11</v>
      </c>
      <c r="F10" s="5">
        <v>11</v>
      </c>
      <c r="G10" s="5" t="s">
        <v>44</v>
      </c>
      <c r="H10" s="5">
        <v>200</v>
      </c>
      <c r="I10" s="5" t="s">
        <v>50</v>
      </c>
    </row>
    <row r="11" spans="1:9" x14ac:dyDescent="0.25">
      <c r="A11" s="3">
        <v>7</v>
      </c>
      <c r="B11" s="4" t="s">
        <v>9</v>
      </c>
      <c r="C11" s="6" t="s">
        <v>17</v>
      </c>
      <c r="D11" s="5" t="s">
        <v>34</v>
      </c>
      <c r="E11" s="5" t="s">
        <v>34</v>
      </c>
      <c r="F11" s="5" t="s">
        <v>34</v>
      </c>
      <c r="G11" s="5"/>
      <c r="H11" s="5" t="s">
        <v>34</v>
      </c>
      <c r="I11" s="5"/>
    </row>
    <row r="12" spans="1:9" x14ac:dyDescent="0.25">
      <c r="A12" s="3">
        <v>8</v>
      </c>
      <c r="B12" s="4" t="s">
        <v>10</v>
      </c>
      <c r="C12" s="6" t="s">
        <v>17</v>
      </c>
      <c r="D12" s="5" t="s">
        <v>34</v>
      </c>
      <c r="E12" s="5" t="s">
        <v>34</v>
      </c>
      <c r="F12" s="5" t="s">
        <v>34</v>
      </c>
      <c r="G12" s="5"/>
      <c r="H12" s="5" t="s">
        <v>34</v>
      </c>
      <c r="I12" s="5"/>
    </row>
    <row r="13" spans="1:9" x14ac:dyDescent="0.25">
      <c r="A13" s="1"/>
      <c r="B13" s="1"/>
      <c r="C13" s="1"/>
      <c r="D13" s="9" t="s">
        <v>38</v>
      </c>
      <c r="E13" s="9">
        <f>SUM(11+15+4)</f>
        <v>30</v>
      </c>
      <c r="F13" s="9">
        <f>SUM(F5+F6+F9)</f>
        <v>23</v>
      </c>
      <c r="G13" s="9"/>
      <c r="H13" s="9">
        <f>SUM(H5+H6+H9+H10)</f>
        <v>1140</v>
      </c>
      <c r="I13" s="9"/>
    </row>
    <row r="14" spans="1:9" x14ac:dyDescent="0.25">
      <c r="D14" s="8"/>
      <c r="E14" s="8"/>
      <c r="I14" s="8"/>
    </row>
    <row r="15" spans="1:9" x14ac:dyDescent="0.25">
      <c r="D15" s="10" t="s">
        <v>76</v>
      </c>
      <c r="I15" s="8"/>
    </row>
    <row r="16" spans="1:9" x14ac:dyDescent="0.25">
      <c r="D16" s="8"/>
      <c r="E16" s="8"/>
      <c r="I16" s="8"/>
    </row>
    <row r="17" spans="2:9" x14ac:dyDescent="0.25">
      <c r="D17" s="8"/>
      <c r="E17" s="8"/>
      <c r="I17" s="8"/>
    </row>
    <row r="18" spans="2:9" x14ac:dyDescent="0.25">
      <c r="D18" s="11" t="s">
        <v>75</v>
      </c>
    </row>
    <row r="19" spans="2:9" x14ac:dyDescent="0.25">
      <c r="B19" s="12" t="s">
        <v>1</v>
      </c>
      <c r="C19" s="12"/>
      <c r="D19" s="12" t="s">
        <v>45</v>
      </c>
      <c r="E19" s="12" t="s">
        <v>49</v>
      </c>
      <c r="F19" s="12" t="s">
        <v>46</v>
      </c>
    </row>
    <row r="20" spans="2:9" x14ac:dyDescent="0.25">
      <c r="B20" s="5"/>
      <c r="C20" s="5"/>
      <c r="D20" s="5"/>
      <c r="E20" s="5" t="s">
        <v>53</v>
      </c>
      <c r="F20" s="5">
        <v>862997068</v>
      </c>
    </row>
    <row r="21" spans="2:9" x14ac:dyDescent="0.25">
      <c r="B21" s="5">
        <v>1</v>
      </c>
      <c r="C21" s="5"/>
      <c r="D21" s="5"/>
      <c r="E21" s="5" t="s">
        <v>54</v>
      </c>
      <c r="F21" s="5"/>
    </row>
    <row r="22" spans="2:9" x14ac:dyDescent="0.25">
      <c r="B22" s="5">
        <v>2</v>
      </c>
      <c r="C22" s="5"/>
      <c r="D22" s="5"/>
      <c r="E22" s="5" t="s">
        <v>55</v>
      </c>
      <c r="F22" s="5"/>
    </row>
    <row r="23" spans="2:9" x14ac:dyDescent="0.25">
      <c r="B23" s="5">
        <v>3</v>
      </c>
      <c r="C23" s="5"/>
      <c r="D23" s="5"/>
      <c r="E23" s="5" t="s">
        <v>56</v>
      </c>
      <c r="F23" s="5">
        <v>6268017448</v>
      </c>
    </row>
    <row r="24" spans="2:9" x14ac:dyDescent="0.25">
      <c r="B24" s="5">
        <v>4</v>
      </c>
      <c r="C24" s="5" t="s">
        <v>64</v>
      </c>
      <c r="D24" s="5" t="s">
        <v>20</v>
      </c>
      <c r="E24" s="5" t="s">
        <v>57</v>
      </c>
      <c r="F24" s="5">
        <v>8962970633</v>
      </c>
    </row>
    <row r="25" spans="2:9" x14ac:dyDescent="0.25">
      <c r="B25" s="5">
        <v>5</v>
      </c>
      <c r="C25" s="5"/>
      <c r="D25" s="5"/>
      <c r="E25" s="5" t="s">
        <v>58</v>
      </c>
      <c r="F25" s="5"/>
    </row>
    <row r="26" spans="2:9" x14ac:dyDescent="0.25">
      <c r="B26" s="5">
        <v>6</v>
      </c>
      <c r="C26" s="5"/>
      <c r="D26" s="5"/>
      <c r="E26" s="5" t="s">
        <v>59</v>
      </c>
      <c r="F26" s="5">
        <v>8827428607</v>
      </c>
    </row>
    <row r="27" spans="2:9" x14ac:dyDescent="0.25">
      <c r="B27" s="5">
        <v>7</v>
      </c>
      <c r="C27" s="5"/>
      <c r="D27" s="5"/>
      <c r="E27" s="5" t="s">
        <v>60</v>
      </c>
      <c r="F27" s="5">
        <v>9977303113</v>
      </c>
    </row>
    <row r="28" spans="2:9" x14ac:dyDescent="0.25">
      <c r="B28" s="5">
        <v>8</v>
      </c>
      <c r="C28" s="5"/>
      <c r="D28" s="5"/>
      <c r="E28" s="5" t="s">
        <v>61</v>
      </c>
      <c r="F28" s="5"/>
    </row>
    <row r="29" spans="2:9" x14ac:dyDescent="0.25">
      <c r="B29" s="5"/>
      <c r="C29" s="5"/>
      <c r="D29" s="5"/>
      <c r="E29" s="5"/>
      <c r="F29" s="5"/>
    </row>
    <row r="30" spans="2:9" x14ac:dyDescent="0.25">
      <c r="B30" s="5"/>
      <c r="C30" s="5"/>
      <c r="D30" s="5"/>
      <c r="E30" s="5"/>
      <c r="F30" s="5"/>
    </row>
    <row r="31" spans="2:9" x14ac:dyDescent="0.25">
      <c r="B31" s="5">
        <v>1</v>
      </c>
      <c r="C31" s="5" t="s">
        <v>62</v>
      </c>
      <c r="D31" s="5"/>
      <c r="E31" s="5" t="s">
        <v>63</v>
      </c>
      <c r="F31" s="5">
        <v>8770803949</v>
      </c>
    </row>
    <row r="32" spans="2:9" x14ac:dyDescent="0.25">
      <c r="B32" s="5"/>
      <c r="C32" s="5"/>
      <c r="D32" s="5"/>
      <c r="E32" s="5"/>
      <c r="F32" s="5"/>
    </row>
    <row r="33" spans="2:6" x14ac:dyDescent="0.25">
      <c r="B33" s="5">
        <v>1</v>
      </c>
      <c r="C33" s="5" t="s">
        <v>65</v>
      </c>
      <c r="D33" s="5"/>
      <c r="E33" s="5" t="s">
        <v>66</v>
      </c>
      <c r="F33" s="5">
        <v>6266660464</v>
      </c>
    </row>
    <row r="34" spans="2:6" x14ac:dyDescent="0.25">
      <c r="B34" s="5">
        <v>2</v>
      </c>
      <c r="C34" s="5"/>
      <c r="D34" s="5"/>
      <c r="E34" s="5" t="s">
        <v>67</v>
      </c>
      <c r="F34" s="5">
        <v>8959617506</v>
      </c>
    </row>
    <row r="35" spans="2:6" x14ac:dyDescent="0.25">
      <c r="B35" s="5">
        <v>3</v>
      </c>
      <c r="C35" s="5"/>
      <c r="D35" s="5"/>
      <c r="E35" s="5" t="s">
        <v>68</v>
      </c>
      <c r="F35" s="5">
        <v>9340749039</v>
      </c>
    </row>
    <row r="36" spans="2:6" x14ac:dyDescent="0.25">
      <c r="B36" s="5">
        <v>4</v>
      </c>
      <c r="C36" s="5"/>
      <c r="D36" s="5"/>
      <c r="E36" s="5" t="s">
        <v>69</v>
      </c>
      <c r="F36" s="5">
        <v>8770135821</v>
      </c>
    </row>
    <row r="37" spans="2:6" x14ac:dyDescent="0.25">
      <c r="B37" s="5">
        <v>5</v>
      </c>
      <c r="C37" s="5"/>
      <c r="D37" s="5"/>
      <c r="E37" s="5" t="s">
        <v>70</v>
      </c>
      <c r="F37" s="5">
        <v>9993987319</v>
      </c>
    </row>
    <row r="38" spans="2:6" x14ac:dyDescent="0.25">
      <c r="B38" s="5">
        <v>6</v>
      </c>
      <c r="C38" s="5"/>
      <c r="D38" s="5"/>
      <c r="E38" s="5" t="s">
        <v>71</v>
      </c>
      <c r="F38" s="5">
        <v>9340785508</v>
      </c>
    </row>
    <row r="39" spans="2:6" x14ac:dyDescent="0.25">
      <c r="B39" s="5">
        <v>7</v>
      </c>
      <c r="C39" s="5"/>
      <c r="D39" s="5"/>
      <c r="E39" s="5" t="s">
        <v>72</v>
      </c>
      <c r="F39" s="5">
        <v>9039614500</v>
      </c>
    </row>
    <row r="40" spans="2:6" x14ac:dyDescent="0.25">
      <c r="B40" s="5">
        <v>8</v>
      </c>
      <c r="C40" s="5"/>
      <c r="D40" s="5"/>
      <c r="E40" s="5" t="s">
        <v>73</v>
      </c>
      <c r="F40" s="5">
        <v>7089354183</v>
      </c>
    </row>
    <row r="41" spans="2:6" x14ac:dyDescent="0.25">
      <c r="B41" s="5">
        <v>9</v>
      </c>
      <c r="C41" s="5"/>
      <c r="D41" s="5"/>
      <c r="E41" s="5" t="s">
        <v>74</v>
      </c>
      <c r="F41" s="5"/>
    </row>
    <row r="42" spans="2:6" x14ac:dyDescent="0.25">
      <c r="B42" s="5"/>
      <c r="C42" s="5"/>
      <c r="D42" s="5"/>
      <c r="E42" s="5"/>
      <c r="F42" s="5"/>
    </row>
    <row r="43" spans="2:6" x14ac:dyDescent="0.25">
      <c r="B43" s="5"/>
      <c r="C43" s="5"/>
      <c r="D43" s="5"/>
      <c r="E43" s="5"/>
      <c r="F43" s="5"/>
    </row>
    <row r="44" spans="2:6" x14ac:dyDescent="0.25">
      <c r="D44"/>
      <c r="F44" s="10"/>
    </row>
    <row r="45" spans="2:6" x14ac:dyDescent="0.25">
      <c r="D45"/>
      <c r="F45" s="10"/>
    </row>
    <row r="46" spans="2:6" x14ac:dyDescent="0.25">
      <c r="D46"/>
      <c r="F46" s="10"/>
    </row>
    <row r="47" spans="2:6" x14ac:dyDescent="0.25">
      <c r="D47"/>
      <c r="F47" s="10"/>
    </row>
    <row r="48" spans="2:6" x14ac:dyDescent="0.25">
      <c r="D48"/>
      <c r="F48" s="10"/>
    </row>
    <row r="49" spans="4:6" x14ac:dyDescent="0.25">
      <c r="D49"/>
      <c r="F49" s="10"/>
    </row>
    <row r="50" spans="4:6" x14ac:dyDescent="0.25">
      <c r="D50"/>
      <c r="F50" s="10"/>
    </row>
    <row r="51" spans="4:6" x14ac:dyDescent="0.25">
      <c r="D51"/>
      <c r="F51" s="10"/>
    </row>
    <row r="52" spans="4:6" x14ac:dyDescent="0.25">
      <c r="D52"/>
      <c r="F52" s="10"/>
    </row>
    <row r="53" spans="4:6" x14ac:dyDescent="0.25">
      <c r="D53"/>
      <c r="F53" s="10"/>
    </row>
    <row r="54" spans="4:6" x14ac:dyDescent="0.25">
      <c r="D54"/>
      <c r="F54" s="10"/>
    </row>
    <row r="55" spans="4:6" x14ac:dyDescent="0.25">
      <c r="D55"/>
      <c r="F55" s="10"/>
    </row>
  </sheetData>
  <mergeCells count="2">
    <mergeCell ref="C1:D1"/>
    <mergeCell ref="C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44BB-C4EA-4704-828F-2F67944C90DA}">
  <dimension ref="A1:H26"/>
  <sheetViews>
    <sheetView zoomScale="97" workbookViewId="0">
      <selection activeCell="G15" sqref="G15"/>
    </sheetView>
  </sheetViews>
  <sheetFormatPr defaultRowHeight="15" x14ac:dyDescent="0.25"/>
  <cols>
    <col min="1" max="1" width="6.28515625" bestFit="1" customWidth="1"/>
    <col min="2" max="2" width="18.28515625" bestFit="1" customWidth="1"/>
    <col min="3" max="3" width="52.85546875" bestFit="1" customWidth="1"/>
    <col min="4" max="4" width="28.28515625" bestFit="1" customWidth="1"/>
    <col min="5" max="5" width="66.140625" bestFit="1" customWidth="1"/>
    <col min="8" max="8" width="65.85546875" bestFit="1" customWidth="1"/>
  </cols>
  <sheetData>
    <row r="1" spans="1:8" x14ac:dyDescent="0.25">
      <c r="B1" s="13" t="s">
        <v>79</v>
      </c>
      <c r="C1" s="36" t="s">
        <v>0</v>
      </c>
      <c r="D1" s="36"/>
    </row>
    <row r="2" spans="1:8" x14ac:dyDescent="0.25">
      <c r="B2" s="1" t="s">
        <v>80</v>
      </c>
      <c r="C2" s="37">
        <v>46008</v>
      </c>
      <c r="D2" s="38"/>
    </row>
    <row r="4" spans="1:8" x14ac:dyDescent="0.25">
      <c r="A4" s="14" t="s">
        <v>1</v>
      </c>
      <c r="B4" s="14" t="s">
        <v>2</v>
      </c>
      <c r="C4" s="14" t="s">
        <v>78</v>
      </c>
      <c r="D4" s="14" t="s">
        <v>88</v>
      </c>
      <c r="E4" s="17" t="s">
        <v>25</v>
      </c>
      <c r="F4" s="20"/>
      <c r="G4" s="20"/>
      <c r="H4" s="21"/>
    </row>
    <row r="5" spans="1:8" x14ac:dyDescent="0.25">
      <c r="A5" s="3">
        <v>1</v>
      </c>
      <c r="B5" s="4" t="s">
        <v>3</v>
      </c>
      <c r="C5" s="16" t="s">
        <v>98</v>
      </c>
      <c r="D5" s="16" t="s">
        <v>34</v>
      </c>
      <c r="E5" s="18" t="s">
        <v>99</v>
      </c>
      <c r="F5" s="22"/>
      <c r="G5" s="22"/>
      <c r="H5" s="21"/>
    </row>
    <row r="6" spans="1:8" x14ac:dyDescent="0.25">
      <c r="A6" s="3">
        <v>2</v>
      </c>
      <c r="B6" s="4" t="s">
        <v>4</v>
      </c>
      <c r="C6" s="16" t="s">
        <v>95</v>
      </c>
      <c r="D6" s="16" t="s">
        <v>97</v>
      </c>
      <c r="E6" s="18" t="s">
        <v>96</v>
      </c>
      <c r="F6" s="22"/>
      <c r="G6" s="22"/>
      <c r="H6" s="21"/>
    </row>
    <row r="7" spans="1:8" x14ac:dyDescent="0.25">
      <c r="A7" s="3">
        <v>3</v>
      </c>
      <c r="B7" s="4" t="s">
        <v>5</v>
      </c>
      <c r="C7" s="16" t="s">
        <v>89</v>
      </c>
      <c r="D7" s="16" t="s">
        <v>100</v>
      </c>
      <c r="E7" s="18" t="s">
        <v>90</v>
      </c>
      <c r="F7" s="22"/>
      <c r="G7" s="22"/>
      <c r="H7" s="21"/>
    </row>
    <row r="8" spans="1:8" x14ac:dyDescent="0.25">
      <c r="A8" s="3">
        <v>4</v>
      </c>
      <c r="B8" s="4" t="s">
        <v>104</v>
      </c>
      <c r="C8" s="16" t="s">
        <v>93</v>
      </c>
      <c r="D8" s="16" t="s">
        <v>100</v>
      </c>
      <c r="E8" s="18" t="s">
        <v>94</v>
      </c>
      <c r="F8" s="22"/>
      <c r="G8" s="22"/>
      <c r="H8" s="21"/>
    </row>
    <row r="9" spans="1:8" x14ac:dyDescent="0.25">
      <c r="A9" s="3">
        <v>5</v>
      </c>
      <c r="B9" s="4" t="s">
        <v>8</v>
      </c>
      <c r="C9" s="16" t="s">
        <v>92</v>
      </c>
      <c r="D9" s="16" t="s">
        <v>100</v>
      </c>
      <c r="E9" s="18" t="s">
        <v>91</v>
      </c>
      <c r="F9" s="22"/>
      <c r="G9" s="22"/>
      <c r="H9" s="21"/>
    </row>
    <row r="10" spans="1:8" x14ac:dyDescent="0.25">
      <c r="A10" s="1"/>
      <c r="B10" s="1"/>
      <c r="C10" s="9" t="s">
        <v>38</v>
      </c>
      <c r="D10" s="9"/>
      <c r="E10" s="19"/>
      <c r="F10" s="23"/>
      <c r="G10" s="23"/>
      <c r="H10" s="23"/>
    </row>
    <row r="12" spans="1:8" x14ac:dyDescent="0.25">
      <c r="C12" s="13" t="s">
        <v>81</v>
      </c>
    </row>
    <row r="13" spans="1:8" x14ac:dyDescent="0.25">
      <c r="C13" s="1" t="s">
        <v>82</v>
      </c>
    </row>
    <row r="15" spans="1:8" s="15" customFormat="1" x14ac:dyDescent="0.25">
      <c r="A15" s="14" t="s">
        <v>1</v>
      </c>
      <c r="B15" s="14" t="s">
        <v>2</v>
      </c>
      <c r="C15" s="14" t="s">
        <v>86</v>
      </c>
      <c r="D15" s="14" t="s">
        <v>84</v>
      </c>
      <c r="E15" s="14" t="s">
        <v>83</v>
      </c>
      <c r="F15" s="14" t="s">
        <v>85</v>
      </c>
      <c r="G15" s="14" t="s">
        <v>87</v>
      </c>
      <c r="H15" s="14" t="s">
        <v>25</v>
      </c>
    </row>
    <row r="16" spans="1:8" x14ac:dyDescent="0.25">
      <c r="A16" s="3">
        <v>1</v>
      </c>
      <c r="B16" s="4" t="s">
        <v>9</v>
      </c>
      <c r="C16" s="5" t="s">
        <v>101</v>
      </c>
      <c r="D16" s="5">
        <v>29</v>
      </c>
      <c r="E16" s="5">
        <v>32</v>
      </c>
      <c r="F16" s="5"/>
      <c r="G16" s="5">
        <f>SUM(D16+E16+F16)</f>
        <v>61</v>
      </c>
      <c r="H16" s="5"/>
    </row>
    <row r="17" spans="1:8" x14ac:dyDescent="0.25">
      <c r="A17" s="3">
        <v>2</v>
      </c>
      <c r="B17" s="4" t="s">
        <v>10</v>
      </c>
      <c r="C17" s="5" t="s">
        <v>102</v>
      </c>
      <c r="D17" s="5">
        <v>45</v>
      </c>
      <c r="E17" s="5">
        <v>13</v>
      </c>
      <c r="F17" s="5"/>
      <c r="G17" s="5">
        <f t="shared" ref="G17:G18" si="0">SUM(D17+E17+F17)</f>
        <v>58</v>
      </c>
      <c r="H17" s="5"/>
    </row>
    <row r="18" spans="1:8" x14ac:dyDescent="0.25">
      <c r="A18" s="3">
        <v>3</v>
      </c>
      <c r="B18" s="4" t="s">
        <v>7</v>
      </c>
      <c r="C18" s="5" t="s">
        <v>103</v>
      </c>
      <c r="D18" s="5">
        <v>17</v>
      </c>
      <c r="E18" s="5">
        <v>27</v>
      </c>
      <c r="F18" s="5">
        <v>31</v>
      </c>
      <c r="G18" s="5">
        <f t="shared" si="0"/>
        <v>75</v>
      </c>
      <c r="H18" s="5"/>
    </row>
    <row r="19" spans="1:8" x14ac:dyDescent="0.25">
      <c r="F19" s="24" t="s">
        <v>38</v>
      </c>
      <c r="G19" s="24">
        <f>SUM(G16:G18)</f>
        <v>194</v>
      </c>
    </row>
    <row r="21" spans="1:8" x14ac:dyDescent="0.25">
      <c r="C21" t="s">
        <v>109</v>
      </c>
      <c r="D21" t="s">
        <v>108</v>
      </c>
    </row>
    <row r="22" spans="1:8" x14ac:dyDescent="0.25">
      <c r="C22" t="s">
        <v>110</v>
      </c>
      <c r="D22" t="s">
        <v>111</v>
      </c>
    </row>
    <row r="23" spans="1:8" x14ac:dyDescent="0.25">
      <c r="C23" t="s">
        <v>106</v>
      </c>
      <c r="D23" t="s">
        <v>107</v>
      </c>
    </row>
    <row r="24" spans="1:8" x14ac:dyDescent="0.25">
      <c r="C24" t="s">
        <v>112</v>
      </c>
      <c r="D24" t="s">
        <v>114</v>
      </c>
    </row>
    <row r="25" spans="1:8" x14ac:dyDescent="0.25">
      <c r="C25" t="s">
        <v>115</v>
      </c>
      <c r="D25" t="s">
        <v>105</v>
      </c>
    </row>
    <row r="26" spans="1:8" x14ac:dyDescent="0.25">
      <c r="C26" t="s">
        <v>113</v>
      </c>
      <c r="D26" t="s">
        <v>116</v>
      </c>
    </row>
  </sheetData>
  <mergeCells count="2">
    <mergeCell ref="C1:D1"/>
    <mergeCell ref="C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FD47-1615-4A28-8AFB-48D2C6BB0211}">
  <dimension ref="A1:G11"/>
  <sheetViews>
    <sheetView workbookViewId="0">
      <selection sqref="A1:H14"/>
    </sheetView>
  </sheetViews>
  <sheetFormatPr defaultRowHeight="15" x14ac:dyDescent="0.25"/>
  <cols>
    <col min="2" max="2" width="17.28515625" bestFit="1" customWidth="1"/>
    <col min="3" max="3" width="36.5703125" bestFit="1" customWidth="1"/>
  </cols>
  <sheetData>
    <row r="1" spans="1:7" x14ac:dyDescent="0.25">
      <c r="C1" s="36" t="s">
        <v>0</v>
      </c>
      <c r="D1" s="36"/>
    </row>
    <row r="2" spans="1:7" x14ac:dyDescent="0.25">
      <c r="C2" s="37">
        <v>46009</v>
      </c>
      <c r="D2" s="38"/>
    </row>
    <row r="4" spans="1:7" x14ac:dyDescent="0.25">
      <c r="A4" s="14" t="s">
        <v>1</v>
      </c>
      <c r="B4" s="14" t="s">
        <v>2</v>
      </c>
      <c r="C4" s="14" t="s">
        <v>117</v>
      </c>
      <c r="D4" s="14" t="s">
        <v>84</v>
      </c>
      <c r="E4" s="14" t="s">
        <v>83</v>
      </c>
      <c r="F4" s="14" t="s">
        <v>85</v>
      </c>
      <c r="G4" s="14" t="s">
        <v>87</v>
      </c>
    </row>
    <row r="5" spans="1:7" x14ac:dyDescent="0.25">
      <c r="A5" s="3">
        <v>1</v>
      </c>
      <c r="B5" s="4" t="s">
        <v>3</v>
      </c>
      <c r="C5" s="27" t="s">
        <v>121</v>
      </c>
      <c r="D5" s="27">
        <v>30</v>
      </c>
      <c r="E5" s="27">
        <v>95</v>
      </c>
      <c r="F5" s="27"/>
      <c r="G5" s="27">
        <f t="shared" ref="G5:G9" si="0">SUM(D5+E5+F5)</f>
        <v>125</v>
      </c>
    </row>
    <row r="6" spans="1:7" x14ac:dyDescent="0.25">
      <c r="A6" s="3">
        <v>2</v>
      </c>
      <c r="B6" s="4" t="s">
        <v>4</v>
      </c>
      <c r="C6" s="27" t="s">
        <v>120</v>
      </c>
      <c r="D6" s="27">
        <v>178</v>
      </c>
      <c r="E6" s="27"/>
      <c r="F6" s="27"/>
      <c r="G6" s="27">
        <f t="shared" si="0"/>
        <v>178</v>
      </c>
    </row>
    <row r="7" spans="1:7" x14ac:dyDescent="0.25">
      <c r="A7" s="3">
        <v>3</v>
      </c>
      <c r="B7" s="4" t="s">
        <v>5</v>
      </c>
      <c r="C7" s="27" t="s">
        <v>122</v>
      </c>
      <c r="D7" s="27">
        <v>26</v>
      </c>
      <c r="E7" s="27">
        <v>20</v>
      </c>
      <c r="F7" s="27">
        <v>57</v>
      </c>
      <c r="G7" s="27">
        <f t="shared" si="0"/>
        <v>103</v>
      </c>
    </row>
    <row r="8" spans="1:7" x14ac:dyDescent="0.25">
      <c r="A8" s="3">
        <v>4</v>
      </c>
      <c r="B8" s="4" t="s">
        <v>104</v>
      </c>
      <c r="C8" s="27" t="s">
        <v>123</v>
      </c>
      <c r="D8" s="27">
        <v>112</v>
      </c>
      <c r="E8" s="27"/>
      <c r="F8" s="27"/>
      <c r="G8" s="27">
        <f t="shared" si="0"/>
        <v>112</v>
      </c>
    </row>
    <row r="9" spans="1:7" x14ac:dyDescent="0.25">
      <c r="A9" s="3">
        <v>5</v>
      </c>
      <c r="B9" s="4" t="s">
        <v>8</v>
      </c>
      <c r="C9" s="27" t="s">
        <v>124</v>
      </c>
      <c r="D9" s="27">
        <v>128</v>
      </c>
      <c r="E9" s="27"/>
      <c r="F9" s="27"/>
      <c r="G9" s="27">
        <f t="shared" si="0"/>
        <v>128</v>
      </c>
    </row>
    <row r="10" spans="1:7" x14ac:dyDescent="0.25">
      <c r="A10" s="26">
        <v>6</v>
      </c>
      <c r="B10" s="4" t="s">
        <v>118</v>
      </c>
      <c r="C10" s="27" t="s">
        <v>119</v>
      </c>
      <c r="D10" s="27">
        <v>32</v>
      </c>
      <c r="E10" s="27">
        <v>20</v>
      </c>
      <c r="F10" s="27">
        <v>40</v>
      </c>
      <c r="G10" s="27">
        <f>SUM(D10+E10+F10)</f>
        <v>92</v>
      </c>
    </row>
    <row r="11" spans="1:7" x14ac:dyDescent="0.25">
      <c r="F11" s="28" t="s">
        <v>125</v>
      </c>
      <c r="G11" s="28">
        <f>SUM(G5+G10+G9+G8+G7+G6)</f>
        <v>738</v>
      </c>
    </row>
  </sheetData>
  <mergeCells count="2">
    <mergeCell ref="C1:D1"/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F050-3A7E-4821-807B-DC022ADE7778}">
  <dimension ref="A1:F32"/>
  <sheetViews>
    <sheetView workbookViewId="0">
      <selection sqref="A1:F12"/>
    </sheetView>
  </sheetViews>
  <sheetFormatPr defaultRowHeight="15" x14ac:dyDescent="0.25"/>
  <cols>
    <col min="1" max="1" width="6.28515625" bestFit="1" customWidth="1"/>
    <col min="2" max="2" width="40.140625" bestFit="1" customWidth="1"/>
    <col min="3" max="3" width="43.7109375" bestFit="1" customWidth="1"/>
    <col min="4" max="4" width="9.42578125" bestFit="1" customWidth="1"/>
    <col min="5" max="5" width="9.5703125" bestFit="1" customWidth="1"/>
  </cols>
  <sheetData>
    <row r="1" spans="1:6" x14ac:dyDescent="0.25">
      <c r="C1" s="36" t="s">
        <v>0</v>
      </c>
      <c r="D1" s="36"/>
    </row>
    <row r="2" spans="1:6" x14ac:dyDescent="0.25">
      <c r="C2" s="37">
        <v>46010</v>
      </c>
      <c r="D2" s="38"/>
    </row>
    <row r="3" spans="1:6" x14ac:dyDescent="0.25">
      <c r="F3" s="33"/>
    </row>
    <row r="4" spans="1:6" x14ac:dyDescent="0.25">
      <c r="A4" s="14" t="s">
        <v>1</v>
      </c>
      <c r="B4" s="14" t="s">
        <v>2</v>
      </c>
      <c r="C4" s="14" t="s">
        <v>117</v>
      </c>
      <c r="D4" s="14" t="s">
        <v>126</v>
      </c>
      <c r="E4" s="14" t="s">
        <v>127</v>
      </c>
      <c r="F4" s="20"/>
    </row>
    <row r="5" spans="1:6" x14ac:dyDescent="0.25">
      <c r="A5" s="3">
        <v>1</v>
      </c>
      <c r="B5" s="4" t="s">
        <v>3</v>
      </c>
      <c r="C5" s="27" t="s">
        <v>121</v>
      </c>
      <c r="D5" s="27">
        <v>135</v>
      </c>
      <c r="E5" s="27">
        <v>58</v>
      </c>
      <c r="F5" s="33"/>
    </row>
    <row r="6" spans="1:6" x14ac:dyDescent="0.25">
      <c r="A6" s="3">
        <v>2</v>
      </c>
      <c r="B6" s="4" t="s">
        <v>4</v>
      </c>
      <c r="C6" s="27" t="s">
        <v>120</v>
      </c>
      <c r="D6" s="27">
        <v>178</v>
      </c>
      <c r="E6" s="27">
        <v>79</v>
      </c>
      <c r="F6" s="33"/>
    </row>
    <row r="7" spans="1:6" x14ac:dyDescent="0.25">
      <c r="A7" s="3">
        <v>3</v>
      </c>
      <c r="B7" s="4" t="s">
        <v>5</v>
      </c>
      <c r="C7" s="27" t="s">
        <v>122</v>
      </c>
      <c r="D7" s="27">
        <v>121</v>
      </c>
      <c r="E7" s="27">
        <v>38</v>
      </c>
      <c r="F7" s="33"/>
    </row>
    <row r="8" spans="1:6" x14ac:dyDescent="0.25">
      <c r="A8" s="3">
        <v>4</v>
      </c>
      <c r="B8" s="4" t="s">
        <v>104</v>
      </c>
      <c r="C8" s="27" t="s">
        <v>123</v>
      </c>
      <c r="D8" s="27">
        <f>SUM(31+112)</f>
        <v>143</v>
      </c>
      <c r="E8" s="27">
        <f>SUM(42+14)</f>
        <v>56</v>
      </c>
      <c r="F8" s="33"/>
    </row>
    <row r="9" spans="1:6" x14ac:dyDescent="0.25">
      <c r="A9" s="3">
        <v>5</v>
      </c>
      <c r="B9" s="4" t="s">
        <v>8</v>
      </c>
      <c r="C9" s="27" t="s">
        <v>124</v>
      </c>
      <c r="D9" s="27">
        <v>198</v>
      </c>
      <c r="E9" s="27">
        <v>52</v>
      </c>
      <c r="F9" s="33"/>
    </row>
    <row r="10" spans="1:6" x14ac:dyDescent="0.25">
      <c r="A10" s="26">
        <v>6</v>
      </c>
      <c r="B10" s="4" t="s">
        <v>118</v>
      </c>
      <c r="C10" s="27" t="s">
        <v>128</v>
      </c>
      <c r="D10" s="27">
        <v>242</v>
      </c>
      <c r="E10" s="27">
        <v>74</v>
      </c>
      <c r="F10" s="33"/>
    </row>
    <row r="11" spans="1:6" x14ac:dyDescent="0.25">
      <c r="A11" s="26"/>
      <c r="B11" s="29"/>
      <c r="C11" s="34" t="s">
        <v>129</v>
      </c>
      <c r="D11" s="34">
        <f>SUM(D5+D6+D7+D8+D9+D10)</f>
        <v>1017</v>
      </c>
      <c r="E11" s="34">
        <f>SUM(E5+E6+E7+E8+E9+E10)</f>
        <v>357</v>
      </c>
      <c r="F11" s="33"/>
    </row>
    <row r="12" spans="1:6" x14ac:dyDescent="0.25">
      <c r="A12" s="31"/>
      <c r="B12" s="32"/>
      <c r="C12" s="21"/>
      <c r="D12" s="30"/>
      <c r="F12" s="33"/>
    </row>
    <row r="13" spans="1:6" x14ac:dyDescent="0.25">
      <c r="B13" s="30"/>
      <c r="C13" s="30"/>
      <c r="D13" s="30"/>
    </row>
    <row r="15" spans="1:6" x14ac:dyDescent="0.25">
      <c r="A15" s="34" t="s">
        <v>141</v>
      </c>
      <c r="B15" s="34" t="s">
        <v>139</v>
      </c>
      <c r="C15" s="34" t="s">
        <v>140</v>
      </c>
    </row>
    <row r="16" spans="1:6" x14ac:dyDescent="0.25">
      <c r="A16" s="27">
        <v>1</v>
      </c>
      <c r="B16" s="27" t="s">
        <v>131</v>
      </c>
      <c r="C16" s="27" t="s">
        <v>133</v>
      </c>
    </row>
    <row r="17" spans="1:3" x14ac:dyDescent="0.25">
      <c r="A17" s="27">
        <v>2</v>
      </c>
      <c r="B17" s="27" t="s">
        <v>132</v>
      </c>
      <c r="C17" s="27" t="s">
        <v>134</v>
      </c>
    </row>
    <row r="18" spans="1:3" x14ac:dyDescent="0.25">
      <c r="A18" s="27">
        <v>3</v>
      </c>
      <c r="B18" s="27" t="s">
        <v>138</v>
      </c>
      <c r="C18" s="27" t="s">
        <v>142</v>
      </c>
    </row>
    <row r="19" spans="1:3" x14ac:dyDescent="0.25">
      <c r="A19" s="27">
        <v>4</v>
      </c>
      <c r="B19" s="27" t="s">
        <v>115</v>
      </c>
      <c r="C19" s="27" t="s">
        <v>135</v>
      </c>
    </row>
    <row r="20" spans="1:3" x14ac:dyDescent="0.25">
      <c r="A20" s="27">
        <v>5</v>
      </c>
      <c r="B20" s="27" t="s">
        <v>112</v>
      </c>
      <c r="C20" s="27" t="s">
        <v>136</v>
      </c>
    </row>
    <row r="21" spans="1:3" x14ac:dyDescent="0.25">
      <c r="A21" s="27">
        <v>6</v>
      </c>
      <c r="B21" s="27" t="s">
        <v>62</v>
      </c>
      <c r="C21" s="35" t="s">
        <v>137</v>
      </c>
    </row>
    <row r="22" spans="1:3" x14ac:dyDescent="0.25">
      <c r="A22" s="27">
        <v>7</v>
      </c>
      <c r="B22" s="27" t="s">
        <v>144</v>
      </c>
      <c r="C22" s="27" t="s">
        <v>143</v>
      </c>
    </row>
    <row r="23" spans="1:3" x14ac:dyDescent="0.25">
      <c r="A23" s="27"/>
      <c r="B23" s="27"/>
      <c r="C23" s="27"/>
    </row>
    <row r="32" spans="1:3" x14ac:dyDescent="0.25">
      <c r="C32" t="s">
        <v>130</v>
      </c>
    </row>
  </sheetData>
  <mergeCells count="2">
    <mergeCell ref="C1:D1"/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F0DC-4B0C-4975-A764-85A02E995410}">
  <dimension ref="A1:F22"/>
  <sheetViews>
    <sheetView tabSelected="1" workbookViewId="0">
      <selection activeCell="J10" sqref="J10"/>
    </sheetView>
  </sheetViews>
  <sheetFormatPr defaultRowHeight="15" x14ac:dyDescent="0.25"/>
  <cols>
    <col min="2" max="2" width="17.28515625" bestFit="1" customWidth="1"/>
    <col min="3" max="3" width="53.140625" bestFit="1" customWidth="1"/>
    <col min="4" max="4" width="13.28515625" bestFit="1" customWidth="1"/>
  </cols>
  <sheetData>
    <row r="1" spans="1:6" x14ac:dyDescent="0.25">
      <c r="C1" s="36" t="s">
        <v>0</v>
      </c>
      <c r="D1" s="36"/>
    </row>
    <row r="2" spans="1:6" x14ac:dyDescent="0.25">
      <c r="C2" s="37">
        <v>46011</v>
      </c>
      <c r="D2" s="38"/>
    </row>
    <row r="3" spans="1:6" x14ac:dyDescent="0.25">
      <c r="F3" s="33"/>
    </row>
    <row r="4" spans="1:6" x14ac:dyDescent="0.25">
      <c r="A4" s="14" t="s">
        <v>1</v>
      </c>
      <c r="B4" s="14" t="s">
        <v>2</v>
      </c>
      <c r="C4" s="14" t="s">
        <v>117</v>
      </c>
      <c r="D4" s="14" t="s">
        <v>149</v>
      </c>
      <c r="E4" s="14" t="s">
        <v>150</v>
      </c>
      <c r="F4" s="14" t="s">
        <v>127</v>
      </c>
    </row>
    <row r="5" spans="1:6" x14ac:dyDescent="0.25">
      <c r="A5" s="3">
        <v>1</v>
      </c>
      <c r="B5" s="4" t="s">
        <v>3</v>
      </c>
      <c r="C5" s="1" t="s">
        <v>154</v>
      </c>
      <c r="D5" s="10">
        <v>206</v>
      </c>
      <c r="E5" s="10">
        <v>82</v>
      </c>
      <c r="F5" s="10">
        <v>30</v>
      </c>
    </row>
    <row r="6" spans="1:6" x14ac:dyDescent="0.25">
      <c r="A6" s="3">
        <v>2</v>
      </c>
      <c r="B6" s="4" t="s">
        <v>4</v>
      </c>
      <c r="C6" s="1" t="s">
        <v>156</v>
      </c>
      <c r="D6" s="1">
        <v>118</v>
      </c>
      <c r="E6" s="1">
        <v>118</v>
      </c>
      <c r="F6" s="1">
        <v>46</v>
      </c>
    </row>
    <row r="7" spans="1:6" x14ac:dyDescent="0.25">
      <c r="A7" s="3">
        <v>3</v>
      </c>
      <c r="B7" s="4" t="s">
        <v>146</v>
      </c>
      <c r="C7" s="1" t="s">
        <v>158</v>
      </c>
      <c r="D7" s="1">
        <v>158</v>
      </c>
      <c r="E7" s="1">
        <v>50</v>
      </c>
      <c r="F7" s="1">
        <v>23</v>
      </c>
    </row>
    <row r="8" spans="1:6" x14ac:dyDescent="0.25">
      <c r="A8" s="3">
        <v>4</v>
      </c>
      <c r="B8" s="4" t="s">
        <v>104</v>
      </c>
      <c r="C8" s="1" t="s">
        <v>155</v>
      </c>
      <c r="D8" s="1">
        <v>129</v>
      </c>
      <c r="E8" s="1">
        <v>129</v>
      </c>
      <c r="F8" s="1">
        <v>43</v>
      </c>
    </row>
    <row r="9" spans="1:6" x14ac:dyDescent="0.25">
      <c r="A9" s="3">
        <v>5</v>
      </c>
      <c r="B9" s="4" t="s">
        <v>8</v>
      </c>
      <c r="C9" s="1" t="s">
        <v>157</v>
      </c>
      <c r="D9" s="1">
        <v>120</v>
      </c>
      <c r="E9" s="1">
        <v>82</v>
      </c>
      <c r="F9" s="1">
        <v>30</v>
      </c>
    </row>
    <row r="10" spans="1:6" x14ac:dyDescent="0.25">
      <c r="A10" s="26">
        <v>6</v>
      </c>
      <c r="B10" s="4" t="s">
        <v>145</v>
      </c>
      <c r="C10" s="1" t="s">
        <v>160</v>
      </c>
      <c r="D10" s="1">
        <v>144</v>
      </c>
      <c r="E10" s="1">
        <v>70</v>
      </c>
      <c r="F10" s="1">
        <v>31</v>
      </c>
    </row>
    <row r="11" spans="1:6" x14ac:dyDescent="0.25">
      <c r="A11" s="26"/>
      <c r="B11" s="29"/>
      <c r="C11" s="39" t="s">
        <v>129</v>
      </c>
      <c r="D11" s="39">
        <f>SUM(D9+D6+D7+D8+D9+D10)</f>
        <v>789</v>
      </c>
      <c r="E11" s="39">
        <f>SUM(E9+E6+E7+E8+E9+E10)</f>
        <v>531</v>
      </c>
      <c r="F11" s="39">
        <f>SUM(F9+F6+F7+F8+F9+F10)</f>
        <v>203</v>
      </c>
    </row>
    <row r="12" spans="1:6" x14ac:dyDescent="0.25">
      <c r="A12" s="31"/>
      <c r="B12" s="32"/>
      <c r="C12" s="21"/>
      <c r="D12" s="30"/>
      <c r="F12" s="33"/>
    </row>
    <row r="13" spans="1:6" x14ac:dyDescent="0.25">
      <c r="C13" s="25" t="s">
        <v>159</v>
      </c>
    </row>
    <row r="16" spans="1:6" x14ac:dyDescent="0.25">
      <c r="A16" s="14" t="s">
        <v>1</v>
      </c>
      <c r="B16" s="14" t="s">
        <v>2</v>
      </c>
      <c r="C16" s="14" t="s">
        <v>147</v>
      </c>
      <c r="D16" s="14" t="s">
        <v>148</v>
      </c>
    </row>
    <row r="17" spans="1:4" x14ac:dyDescent="0.25">
      <c r="A17" s="3">
        <v>1</v>
      </c>
      <c r="B17" s="4" t="s">
        <v>3</v>
      </c>
      <c r="C17" s="1" t="s">
        <v>20</v>
      </c>
      <c r="D17" s="1">
        <v>65</v>
      </c>
    </row>
    <row r="18" spans="1:4" x14ac:dyDescent="0.25">
      <c r="A18" s="3">
        <v>2</v>
      </c>
      <c r="B18" s="4" t="s">
        <v>4</v>
      </c>
      <c r="C18" s="1" t="s">
        <v>153</v>
      </c>
      <c r="D18" s="1">
        <v>10</v>
      </c>
    </row>
    <row r="19" spans="1:4" x14ac:dyDescent="0.25">
      <c r="A19" s="3">
        <v>3</v>
      </c>
      <c r="B19" s="4" t="s">
        <v>146</v>
      </c>
      <c r="C19" s="1" t="s">
        <v>153</v>
      </c>
      <c r="D19" s="1">
        <v>10</v>
      </c>
    </row>
    <row r="20" spans="1:4" x14ac:dyDescent="0.25">
      <c r="A20" s="3">
        <v>4</v>
      </c>
      <c r="B20" s="4" t="s">
        <v>104</v>
      </c>
      <c r="C20" s="1" t="s">
        <v>153</v>
      </c>
      <c r="D20" s="1">
        <v>10</v>
      </c>
    </row>
    <row r="21" spans="1:4" x14ac:dyDescent="0.25">
      <c r="A21" s="3">
        <v>5</v>
      </c>
      <c r="B21" s="4" t="s">
        <v>8</v>
      </c>
      <c r="C21" s="1" t="s">
        <v>152</v>
      </c>
      <c r="D21" s="1">
        <v>15</v>
      </c>
    </row>
    <row r="22" spans="1:4" x14ac:dyDescent="0.25">
      <c r="A22" s="26">
        <v>6</v>
      </c>
      <c r="B22" s="4" t="s">
        <v>145</v>
      </c>
      <c r="C22" s="1" t="s">
        <v>151</v>
      </c>
      <c r="D22" s="1">
        <v>16</v>
      </c>
    </row>
  </sheetData>
  <mergeCells count="2">
    <mergeCell ref="C1:D1"/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</dc:creator>
  <cp:lastModifiedBy>exact</cp:lastModifiedBy>
  <dcterms:created xsi:type="dcterms:W3CDTF">2015-06-05T18:17:20Z</dcterms:created>
  <dcterms:modified xsi:type="dcterms:W3CDTF">2025-12-22T09:50:51Z</dcterms:modified>
</cp:coreProperties>
</file>